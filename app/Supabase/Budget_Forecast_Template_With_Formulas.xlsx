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Bills" sheetId="2" r:id="rId6"/>
    <sheet state="visible" name="Income" sheetId="3" r:id="rId7"/>
    <sheet state="visible" name="Debt Tracker" sheetId="4" r:id="rId8"/>
  </sheets>
  <definedNames/>
  <calcPr/>
</workbook>
</file>

<file path=xl/sharedStrings.xml><?xml version="1.0" encoding="utf-8"?>
<sst xmlns="http://schemas.openxmlformats.org/spreadsheetml/2006/main" count="381" uniqueCount="69">
  <si>
    <t>Date</t>
  </si>
  <si>
    <t>Starting Cash</t>
  </si>
  <si>
    <t>Income</t>
  </si>
  <si>
    <t>Bills</t>
  </si>
  <si>
    <t>Available After Bills</t>
  </si>
  <si>
    <t>Credit Card Payment</t>
  </si>
  <si>
    <t>Ending Cash</t>
  </si>
  <si>
    <t>Due Date</t>
  </si>
  <si>
    <t>Description</t>
  </si>
  <si>
    <t>Amount</t>
  </si>
  <si>
    <t>Frequency</t>
  </si>
  <si>
    <t>Notes</t>
  </si>
  <si>
    <t>Lillys Dance</t>
  </si>
  <si>
    <t>One-time</t>
  </si>
  <si>
    <t>Turbo Tax</t>
  </si>
  <si>
    <t>Auto-draft</t>
  </si>
  <si>
    <t>Adderral</t>
  </si>
  <si>
    <t>Auto-Draft</t>
  </si>
  <si>
    <t>Amex</t>
  </si>
  <si>
    <t>Monthly</t>
  </si>
  <si>
    <t>Cell Phone</t>
  </si>
  <si>
    <t>Internet</t>
  </si>
  <si>
    <t>HOA Fee</t>
  </si>
  <si>
    <t>HOA Past Due Balance</t>
  </si>
  <si>
    <t>Robinhood CC</t>
  </si>
  <si>
    <t>Robinhood Credit Card Payment</t>
  </si>
  <si>
    <t>Mortgage</t>
  </si>
  <si>
    <t>USC Rec</t>
  </si>
  <si>
    <t>Posts to Robinhood CC</t>
  </si>
  <si>
    <t>HOA Fees</t>
  </si>
  <si>
    <t>Sewage</t>
  </si>
  <si>
    <t>BMW Lease</t>
  </si>
  <si>
    <t>Water</t>
  </si>
  <si>
    <t>Electric</t>
  </si>
  <si>
    <t>Peoples Gas</t>
  </si>
  <si>
    <t>GLP-1</t>
  </si>
  <si>
    <t>BMW Payment</t>
  </si>
  <si>
    <t>RH Credit Card</t>
  </si>
  <si>
    <t>Chase Credit Card</t>
  </si>
  <si>
    <t>Big Green Egg</t>
  </si>
  <si>
    <t>Auto-draft, reimbursed by Brittany's work</t>
  </si>
  <si>
    <t>HII Pay</t>
  </si>
  <si>
    <t>Bi-Weekly</t>
  </si>
  <si>
    <t>Deep Creek Lake</t>
  </si>
  <si>
    <t>BMW</t>
  </si>
  <si>
    <t>Brandon &amp; Lo Room Deposit</t>
  </si>
  <si>
    <t>Brittany Birthday Gifts</t>
  </si>
  <si>
    <t>Golf Clubs</t>
  </si>
  <si>
    <t>FERC Pay</t>
  </si>
  <si>
    <t>Auto-draft from RH card</t>
  </si>
  <si>
    <t>BMW 430i</t>
  </si>
  <si>
    <t>SoFi Invest</t>
  </si>
  <si>
    <t>XGIMI</t>
  </si>
  <si>
    <t>Manual payment to Britt</t>
  </si>
  <si>
    <t>1895-10-18</t>
  </si>
  <si>
    <t>Auto-draft, reimbursed by Britt's work</t>
  </si>
  <si>
    <t>Chevy Tahoe</t>
  </si>
  <si>
    <t>Source</t>
  </si>
  <si>
    <t>Paycheck</t>
  </si>
  <si>
    <t>Card Name</t>
  </si>
  <si>
    <t>Balance</t>
  </si>
  <si>
    <t>Interest Rate</t>
  </si>
  <si>
    <t>Min Payment</t>
  </si>
  <si>
    <t>Target Payment</t>
  </si>
  <si>
    <t>Chase Saffire Reserve</t>
  </si>
  <si>
    <t>24%</t>
  </si>
  <si>
    <t>Capital One</t>
  </si>
  <si>
    <t>22%</t>
  </si>
  <si>
    <t>Robinhood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</si>
</sst>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"/>
    <numFmt numFmtId="165" formatCode="&quot;$&quot;#,##0.00"/>
    <numFmt numFmtId="166" formatCode="yyyy-mm-dd"/>
    <numFmt numFmtId="167" formatCode="m/d/yyyy"/>
    <numFmt numFmtId="168" formatCode="mm/dd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434343"/>
      <name val="Roboto"/>
    </font>
    <font>
      <sz val="11.0"/>
      <color theme="1"/>
      <name val="Calibri"/>
    </font>
    <font>
      <sz val="11.0"/>
      <color rgb="FF2A32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2" fontId="2" numFmtId="166" xfId="0" applyAlignment="1" applyFill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165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1" fillId="2" fontId="3" numFmtId="166" xfId="0" applyAlignment="1" applyBorder="1" applyFont="1" applyNumberFormat="1">
      <alignment horizontal="right" readingOrder="0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165" xfId="0" applyAlignment="1" applyBorder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3" numFmtId="165" xfId="0" applyAlignment="1" applyBorder="1" applyFont="1" applyNumberFormat="1">
      <alignment horizontal="right"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3" fillId="2" fontId="4" numFmtId="166" xfId="0" applyAlignment="1" applyBorder="1" applyFont="1" applyNumberForma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7" xfId="0" applyAlignment="1" applyFont="1" applyNumberFormat="1">
      <alignment readingOrder="0" shrinkToFit="0" vertical="center" wrapText="0"/>
    </xf>
    <xf borderId="0" fillId="0" fontId="2" numFmtId="168" xfId="0" applyAlignment="1" applyFont="1" applyNumberFormat="1">
      <alignment readingOrder="0" shrinkToFit="0" vertical="center" wrapText="0"/>
    </xf>
    <xf borderId="4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l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com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4" displayName="Table1" name="Table1" id="1">
  <tableColumns count="7">
    <tableColumn name="Date" id="1"/>
    <tableColumn name="Starting Cash" id="2"/>
    <tableColumn name="Income" id="3"/>
    <tableColumn name="Bills" id="4"/>
    <tableColumn name="Available After Bills" id="5"/>
    <tableColumn name="Credit Card Payment" id="6"/>
    <tableColumn name="Ending Cash" id="7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1:E133" displayName="Table2" name="Table2" id="2">
  <tableColumns count="5">
    <tableColumn name="Due Date" id="1"/>
    <tableColumn name="Description" id="2"/>
    <tableColumn name="Amount" id="3"/>
    <tableColumn name="Frequency" id="4"/>
    <tableColumn name="Notes" id="5"/>
  </tableColumns>
  <tableStyleInfo name="Bills-style" showColumnStripes="0" showFirstColumn="1" showLastColumn="1" showRowStripes="1"/>
</table>
</file>

<file path=xl/tables/table3.xml><?xml version="1.0" encoding="utf-8"?>
<table xmlns="http://schemas.openxmlformats.org/spreadsheetml/2006/main" ref="A1:C14" displayName="Table3" name="Table3" id="3">
  <tableColumns count="3">
    <tableColumn name="Date" id="1"/>
    <tableColumn name="Source" id="2"/>
    <tableColumn name="Amount" id="3"/>
  </tableColumns>
  <tableStyleInfo name="Inco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1.43"/>
    <col customWidth="1" min="3" max="3" width="16.43"/>
    <col customWidth="1" min="4" max="4" width="13.57"/>
    <col customWidth="1" min="5" max="5" width="26.86"/>
    <col customWidth="1" min="6" max="6" width="27.86"/>
    <col customWidth="1" min="7" max="7" width="20.43"/>
    <col customWidth="1" min="8" max="27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45827.0</v>
      </c>
      <c r="B2" s="3">
        <v>3690.67</v>
      </c>
      <c r="C2" s="4">
        <f>SUMIFS(Income!C:C, Income!A:A, A2)</f>
        <v>0</v>
      </c>
      <c r="D2" s="4">
        <f>SUMIFS(Bills!C:C, Bills!A:A, "&gt;" &amp; A2, Bills!A:A, "&lt;=" &amp; A2)
</f>
        <v>0</v>
      </c>
      <c r="E2" s="3">
        <f t="shared" ref="E2:E14" si="1">B2+C2-D2</f>
        <v>3690.67</v>
      </c>
      <c r="F2" s="4">
        <f>3002.54</f>
        <v>3002.54</v>
      </c>
      <c r="G2" s="4">
        <f t="shared" ref="G2:G3" si="2">E2-F2</f>
        <v>688.13</v>
      </c>
    </row>
    <row r="3" ht="22.5" customHeight="1">
      <c r="A3" s="2">
        <v>45828.0</v>
      </c>
      <c r="B3" s="4">
        <f t="shared" ref="B3:B14" si="3">G2</f>
        <v>688.13</v>
      </c>
      <c r="C3" s="4">
        <f>SUMIFS(Income!C:C, Income!A:A, A3)</f>
        <v>4032</v>
      </c>
      <c r="D3" s="4">
        <f>SUMIFS(Bills!C:C, Bills!A:A, "&gt;" &amp; A2, Bills!A:A, "&lt;=" &amp; A3)
</f>
        <v>572</v>
      </c>
      <c r="E3" s="3">
        <f t="shared" si="1"/>
        <v>4148.13</v>
      </c>
      <c r="F3" s="4">
        <f>2600</f>
        <v>2600</v>
      </c>
      <c r="G3" s="4">
        <f t="shared" si="2"/>
        <v>1548.13</v>
      </c>
    </row>
    <row r="4" ht="22.5" customHeight="1">
      <c r="A4" s="2">
        <v>45841.0</v>
      </c>
      <c r="B4" s="4">
        <f t="shared" si="3"/>
        <v>1548.13</v>
      </c>
      <c r="C4" s="4">
        <f>SUMIFS(Income!C:C, Income!A:A, A4)</f>
        <v>3569</v>
      </c>
      <c r="D4" s="4">
        <f>SUMIFS(Bills!C:C, Bills!A:A, "&gt;" &amp; A3, Bills!A:A, "&lt;=" &amp; A4)
</f>
        <v>1462.51</v>
      </c>
      <c r="E4" s="3">
        <f t="shared" si="1"/>
        <v>3654.62</v>
      </c>
      <c r="F4" s="4">
        <f t="shared" ref="F4:F5" si="4">ROUND(E4*0.9, 2)</f>
        <v>3289.16</v>
      </c>
      <c r="G4" s="4">
        <f>E4-F4+205.15</f>
        <v>570.61</v>
      </c>
    </row>
    <row r="5" ht="22.5" customHeight="1">
      <c r="A5" s="2">
        <v>45849.0</v>
      </c>
      <c r="B5" s="4">
        <f t="shared" si="3"/>
        <v>570.61</v>
      </c>
      <c r="C5" s="4">
        <f>SUMIFS(Income!C:C, Income!A:A, A5)</f>
        <v>2240</v>
      </c>
      <c r="D5" s="4">
        <f>SUMIFS(Bills!C:C, Bills!A:A, "&gt;" &amp; A4, Bills!A:A, "&lt;=" &amp; A5)
</f>
        <v>-1422.97</v>
      </c>
      <c r="E5" s="4">
        <f t="shared" si="1"/>
        <v>4233.58</v>
      </c>
      <c r="F5" s="4">
        <f t="shared" si="4"/>
        <v>3810.22</v>
      </c>
      <c r="G5" s="4">
        <f t="shared" ref="G5:G14" si="5">E5-F5</f>
        <v>423.36</v>
      </c>
    </row>
    <row r="6" ht="22.5" customHeight="1">
      <c r="A6" s="2">
        <v>45856.0</v>
      </c>
      <c r="B6" s="4">
        <f t="shared" si="3"/>
        <v>423.36</v>
      </c>
      <c r="C6" s="4">
        <f>SUMIFS(Income!C:C, Income!A:A, A6)</f>
        <v>3569</v>
      </c>
      <c r="D6" s="4">
        <f>SUMIFS(Bills!C:C, Bills!A:A, "&gt;" &amp; A5, Bills!A:A, "&lt;=" &amp; A6)
</f>
        <v>1534.33</v>
      </c>
      <c r="E6" s="4">
        <f t="shared" si="1"/>
        <v>2458.03</v>
      </c>
      <c r="F6" s="4">
        <f>829 + 554</f>
        <v>1383</v>
      </c>
      <c r="G6" s="4">
        <f t="shared" si="5"/>
        <v>1075.03</v>
      </c>
    </row>
    <row r="7" ht="22.5" customHeight="1">
      <c r="A7" s="2">
        <v>45870.0</v>
      </c>
      <c r="B7" s="4">
        <f t="shared" si="3"/>
        <v>1075.03</v>
      </c>
      <c r="C7" s="4">
        <f>SUMIFS(Income!C:C, Income!A:A, A7)</f>
        <v>3569</v>
      </c>
      <c r="D7" s="4">
        <f>SUMIFS(Bills!C:C, Bills!A:A, "&gt;" &amp; A6, Bills!A:A, "&lt;=" &amp; A7)
</f>
        <v>-886.81</v>
      </c>
      <c r="E7" s="4">
        <f t="shared" si="1"/>
        <v>5530.84</v>
      </c>
      <c r="F7" s="4">
        <f>ROUND(E7*0.9, 2)</f>
        <v>4977.76</v>
      </c>
      <c r="G7" s="4">
        <f t="shared" si="5"/>
        <v>553.08</v>
      </c>
    </row>
    <row r="8" ht="22.5" customHeight="1">
      <c r="A8" s="2">
        <v>45877.0</v>
      </c>
      <c r="B8" s="4">
        <f t="shared" si="3"/>
        <v>553.08</v>
      </c>
      <c r="C8" s="4">
        <f>SUMIFS(Income!C:C, Income!A:A, A8)</f>
        <v>5400</v>
      </c>
      <c r="D8" s="4">
        <f>SUMIFS(Bills!C:C, Bills!A:A, "&gt;" &amp; A7, Bills!A:A, "&lt;=" &amp; A8)
</f>
        <v>-4170.27</v>
      </c>
      <c r="E8" s="4">
        <f t="shared" si="1"/>
        <v>10123.35</v>
      </c>
      <c r="F8" s="3">
        <v>500.0</v>
      </c>
      <c r="G8" s="4">
        <f t="shared" si="5"/>
        <v>9623.35</v>
      </c>
    </row>
    <row r="9" ht="22.5" customHeight="1">
      <c r="A9" s="2">
        <v>45884.0</v>
      </c>
      <c r="B9" s="4">
        <f t="shared" si="3"/>
        <v>9623.35</v>
      </c>
      <c r="C9" s="4">
        <f>SUMIFS(Income!C:C, Income!A:A, A9)</f>
        <v>3569</v>
      </c>
      <c r="D9" s="4">
        <f>SUMIFS(Bills!C:C, Bills!A:A, "&gt;" &amp; A8, Bills!A:A, "&lt;=" &amp; A9)
</f>
        <v>2035</v>
      </c>
      <c r="E9" s="4">
        <f t="shared" si="1"/>
        <v>11157.35</v>
      </c>
      <c r="F9" s="3">
        <v>500.0</v>
      </c>
      <c r="G9" s="4">
        <f t="shared" si="5"/>
        <v>10657.35</v>
      </c>
    </row>
    <row r="10" ht="22.5" customHeight="1">
      <c r="A10" s="2">
        <v>45898.0</v>
      </c>
      <c r="B10" s="4">
        <f t="shared" si="3"/>
        <v>10657.35</v>
      </c>
      <c r="C10" s="4">
        <f>SUMIFS(Income!C:C, Income!A:A, A10)</f>
        <v>3569</v>
      </c>
      <c r="D10" s="4">
        <f>SUMIFS(Bills!C:C, Bills!A:A, "&gt;" &amp; A9, Bills!A:A, "&lt;=" &amp; A10)
</f>
        <v>1728.71</v>
      </c>
      <c r="E10" s="4">
        <f t="shared" si="1"/>
        <v>12497.64</v>
      </c>
      <c r="F10" s="4">
        <v>2500.0</v>
      </c>
      <c r="G10" s="4">
        <f t="shared" si="5"/>
        <v>9997.64</v>
      </c>
    </row>
    <row r="11" ht="22.5" customHeight="1">
      <c r="A11" s="2">
        <v>45908.0</v>
      </c>
      <c r="B11" s="4">
        <f t="shared" si="3"/>
        <v>9997.64</v>
      </c>
      <c r="C11" s="4">
        <f>SUMIFS(Income!C:C, Income!A:A, A11)</f>
        <v>11880</v>
      </c>
      <c r="D11" s="4">
        <f>SUMIFS(Bills!C:C, Bills!A:A, "&gt;" &amp; A10, Bills!A:A, "&lt;=" &amp; A11)
</f>
        <v>-1690.74</v>
      </c>
      <c r="E11" s="4">
        <f t="shared" si="1"/>
        <v>23568.38</v>
      </c>
      <c r="F11" s="3">
        <v>1500.0</v>
      </c>
      <c r="G11" s="4">
        <f t="shared" si="5"/>
        <v>22068.38</v>
      </c>
    </row>
    <row r="12" ht="22.5" customHeight="1">
      <c r="A12" s="2">
        <v>45912.0</v>
      </c>
      <c r="B12" s="4">
        <f t="shared" si="3"/>
        <v>22068.38</v>
      </c>
      <c r="C12" s="4">
        <f>SUMIFS(Income!C:C, Income!A:A, A12)</f>
        <v>3569</v>
      </c>
      <c r="D12" s="4">
        <f>SUMIFS(Bills!C:C, Bills!A:A, "&gt;" &amp; A11, Bills!A:A, "&lt;=" &amp; A12)
</f>
        <v>2628.3</v>
      </c>
      <c r="E12" s="4">
        <f t="shared" si="1"/>
        <v>23009.08</v>
      </c>
      <c r="F12" s="3">
        <v>1500.0</v>
      </c>
      <c r="G12" s="4">
        <f t="shared" si="5"/>
        <v>21509.08</v>
      </c>
    </row>
    <row r="13" ht="22.5" customHeight="1">
      <c r="A13" s="2">
        <v>45926.0</v>
      </c>
      <c r="B13" s="4">
        <f t="shared" si="3"/>
        <v>21509.08</v>
      </c>
      <c r="C13" s="4">
        <f>SUMIFS(Income!C:C, Income!A:A, A13)</f>
        <v>3569</v>
      </c>
      <c r="D13" s="4">
        <f>SUMIFS(Bills!C:C, Bills!A:A, "&gt;" &amp; A12, Bills!A:A, "&lt;=" &amp; A13)
</f>
        <v>12413.49</v>
      </c>
      <c r="E13" s="4">
        <f t="shared" si="1"/>
        <v>12664.59</v>
      </c>
      <c r="F13" s="4">
        <v>0.0</v>
      </c>
      <c r="G13" s="4">
        <f t="shared" si="5"/>
        <v>12664.59</v>
      </c>
    </row>
    <row r="14" ht="22.5" customHeight="1">
      <c r="A14" s="2">
        <v>45940.0</v>
      </c>
      <c r="B14" s="4">
        <f t="shared" si="3"/>
        <v>12664.59</v>
      </c>
      <c r="C14" s="4">
        <f>SUMIFS(Income!C:C, Income!A:A, A14)</f>
        <v>12209</v>
      </c>
      <c r="D14" s="4">
        <f>SUMIFS(Bills!C:C, Bills!A:A, "&gt;" &amp; A13, Bills!A:A, "&lt;=" &amp; A14)
</f>
        <v>13357.99</v>
      </c>
      <c r="E14" s="4">
        <f t="shared" si="1"/>
        <v>11515.6</v>
      </c>
      <c r="F14" s="4">
        <v>0.0</v>
      </c>
      <c r="G14" s="4">
        <f t="shared" si="5"/>
        <v>11515.6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4">
      <formula1>OR(NOT(ISERROR(DATEVALUE(A2))), AND(ISNUMBER(A2), LEFT(CELL("format", A2))="D"))</formula1>
    </dataValidation>
    <dataValidation type="custom" allowBlank="1" showDropDown="1" sqref="B2:G14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8.71"/>
    <col customWidth="1" min="3" max="3" width="17.0"/>
    <col customWidth="1" min="4" max="4" width="19.0"/>
    <col customWidth="1" min="5" max="5" width="44.14"/>
    <col customWidth="1" min="6" max="6" width="8.71"/>
  </cols>
  <sheetData>
    <row r="1" ht="22.5" customHeigh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ht="22.5" customHeight="1">
      <c r="A2" s="5">
        <v>45827.0</v>
      </c>
      <c r="B2" s="6" t="s">
        <v>12</v>
      </c>
      <c r="C2" s="7">
        <v>50.0</v>
      </c>
      <c r="D2" s="8" t="s">
        <v>13</v>
      </c>
      <c r="E2" s="6"/>
    </row>
    <row r="3" ht="22.5" customHeight="1">
      <c r="A3" s="5">
        <v>45828.0</v>
      </c>
      <c r="B3" s="6" t="s">
        <v>14</v>
      </c>
      <c r="C3" s="7">
        <v>322.0</v>
      </c>
      <c r="D3" s="8" t="s">
        <v>13</v>
      </c>
      <c r="E3" s="6" t="s">
        <v>15</v>
      </c>
    </row>
    <row r="4" ht="22.5" customHeight="1">
      <c r="A4" s="5">
        <v>45828.0</v>
      </c>
      <c r="B4" s="6" t="s">
        <v>16</v>
      </c>
      <c r="C4" s="7">
        <v>210.0</v>
      </c>
      <c r="D4" s="8" t="s">
        <v>13</v>
      </c>
      <c r="E4" s="6" t="s">
        <v>17</v>
      </c>
    </row>
    <row r="5" ht="22.5" customHeight="1">
      <c r="A5" s="5">
        <v>45828.0</v>
      </c>
      <c r="B5" s="6" t="s">
        <v>18</v>
      </c>
      <c r="C5" s="7">
        <v>40.0</v>
      </c>
      <c r="D5" s="8" t="s">
        <v>19</v>
      </c>
      <c r="E5" s="6"/>
    </row>
    <row r="6" ht="22.5" customHeight="1">
      <c r="A6" s="5">
        <v>45829.0</v>
      </c>
      <c r="B6" s="6" t="s">
        <v>20</v>
      </c>
      <c r="C6" s="7">
        <v>197.97</v>
      </c>
      <c r="D6" s="8" t="s">
        <v>19</v>
      </c>
      <c r="E6" s="6" t="s">
        <v>15</v>
      </c>
    </row>
    <row r="7" ht="22.5" customHeight="1">
      <c r="A7" s="5">
        <v>45838.0</v>
      </c>
      <c r="B7" s="6" t="s">
        <v>21</v>
      </c>
      <c r="C7" s="7">
        <v>89.99</v>
      </c>
      <c r="D7" s="9" t="s">
        <v>19</v>
      </c>
      <c r="E7" s="6" t="s">
        <v>15</v>
      </c>
    </row>
    <row r="8" ht="22.5" customHeight="1">
      <c r="A8" s="5">
        <v>45838.0</v>
      </c>
      <c r="B8" s="5" t="s">
        <v>22</v>
      </c>
      <c r="C8" s="7">
        <v>-182.25</v>
      </c>
      <c r="D8" s="9" t="s">
        <v>13</v>
      </c>
      <c r="E8" s="5" t="s">
        <v>23</v>
      </c>
    </row>
    <row r="9" ht="22.5" customHeight="1">
      <c r="A9" s="5">
        <v>45838.0</v>
      </c>
      <c r="B9" s="5" t="s">
        <v>24</v>
      </c>
      <c r="C9" s="7">
        <v>-500.0</v>
      </c>
      <c r="D9" s="9" t="s">
        <v>13</v>
      </c>
      <c r="E9" s="5" t="s">
        <v>25</v>
      </c>
    </row>
    <row r="10" ht="22.5" customHeight="1">
      <c r="A10" s="5">
        <v>45839.0</v>
      </c>
      <c r="B10" s="5" t="s">
        <v>26</v>
      </c>
      <c r="C10" s="7">
        <f>SUM(1069.29,1068)</f>
        <v>2137.29</v>
      </c>
      <c r="D10" s="9" t="s">
        <v>19</v>
      </c>
      <c r="E10" s="5" t="s">
        <v>15</v>
      </c>
    </row>
    <row r="11" ht="22.5" customHeight="1">
      <c r="A11" s="5">
        <v>45839.0</v>
      </c>
      <c r="B11" s="5" t="s">
        <v>27</v>
      </c>
      <c r="C11" s="7">
        <v>52.0</v>
      </c>
      <c r="D11" s="9" t="s">
        <v>19</v>
      </c>
      <c r="E11" s="5" t="s">
        <v>28</v>
      </c>
    </row>
    <row r="12" ht="22.5" customHeight="1">
      <c r="A12" s="5">
        <v>45839.0</v>
      </c>
      <c r="B12" s="5" t="s">
        <v>29</v>
      </c>
      <c r="C12" s="7">
        <v>-170.0</v>
      </c>
      <c r="D12" s="9" t="s">
        <v>19</v>
      </c>
      <c r="E12" s="5" t="s">
        <v>15</v>
      </c>
    </row>
    <row r="13" ht="22.5" customHeight="1">
      <c r="A13" s="5">
        <v>45840.0</v>
      </c>
      <c r="B13" s="5" t="s">
        <v>30</v>
      </c>
      <c r="C13" s="7">
        <v>-162.49</v>
      </c>
      <c r="D13" s="9" t="s">
        <v>19</v>
      </c>
      <c r="E13" s="5" t="s">
        <v>15</v>
      </c>
    </row>
    <row r="14" ht="22.5" customHeight="1">
      <c r="A14" s="5">
        <v>45842.0</v>
      </c>
      <c r="B14" s="5" t="s">
        <v>31</v>
      </c>
      <c r="C14" s="7">
        <v>-1072.69</v>
      </c>
      <c r="D14" s="9" t="s">
        <v>19</v>
      </c>
      <c r="E14" s="5" t="s">
        <v>15</v>
      </c>
    </row>
    <row r="15" ht="22.5" customHeight="1">
      <c r="A15" s="5">
        <v>45845.0</v>
      </c>
      <c r="B15" s="5" t="s">
        <v>5</v>
      </c>
      <c r="C15" s="7">
        <v>-400.0</v>
      </c>
      <c r="D15" s="9" t="s">
        <v>13</v>
      </c>
      <c r="E15" s="5" t="s">
        <v>25</v>
      </c>
    </row>
    <row r="16" ht="22.5" customHeight="1">
      <c r="A16" s="5">
        <v>45842.0</v>
      </c>
      <c r="B16" s="5" t="s">
        <v>32</v>
      </c>
      <c r="C16" s="7">
        <v>-107.03</v>
      </c>
      <c r="D16" s="9" t="s">
        <v>19</v>
      </c>
      <c r="E16" s="5" t="s">
        <v>28</v>
      </c>
    </row>
    <row r="17" ht="22.5" customHeight="1">
      <c r="A17" s="5">
        <v>45845.0</v>
      </c>
      <c r="B17" s="5" t="s">
        <v>33</v>
      </c>
      <c r="C17" s="7">
        <v>-106.39</v>
      </c>
      <c r="D17" s="9" t="s">
        <v>19</v>
      </c>
      <c r="E17" s="5" t="s">
        <v>15</v>
      </c>
    </row>
    <row r="18" ht="22.5" customHeight="1">
      <c r="A18" s="5">
        <v>45845.0</v>
      </c>
      <c r="B18" s="5" t="s">
        <v>34</v>
      </c>
      <c r="C18" s="7">
        <v>-85.86</v>
      </c>
      <c r="D18" s="9" t="s">
        <v>19</v>
      </c>
      <c r="E18" s="5"/>
    </row>
    <row r="19" ht="22.5" customHeight="1">
      <c r="A19" s="5">
        <v>45845.0</v>
      </c>
      <c r="B19" s="5" t="s">
        <v>35</v>
      </c>
      <c r="C19" s="7">
        <v>349.0</v>
      </c>
      <c r="D19" s="9" t="s">
        <v>19</v>
      </c>
      <c r="E19" s="5" t="s">
        <v>15</v>
      </c>
    </row>
    <row r="20" ht="22.5" customHeight="1">
      <c r="A20" s="5">
        <v>45852.0</v>
      </c>
      <c r="B20" s="5" t="s">
        <v>36</v>
      </c>
      <c r="C20" s="7">
        <v>1534.33</v>
      </c>
      <c r="D20" s="9" t="s">
        <v>19</v>
      </c>
      <c r="E20" s="5" t="s">
        <v>15</v>
      </c>
    </row>
    <row r="21" ht="22.5" customHeight="1">
      <c r="A21" s="5">
        <v>45859.0</v>
      </c>
      <c r="B21" s="5" t="s">
        <v>20</v>
      </c>
      <c r="C21" s="7">
        <v>197.37</v>
      </c>
      <c r="D21" s="9" t="s">
        <v>19</v>
      </c>
      <c r="E21" s="5" t="s">
        <v>15</v>
      </c>
    </row>
    <row r="22" ht="22.5" customHeight="1">
      <c r="A22" s="5">
        <v>45860.0</v>
      </c>
      <c r="B22" s="5" t="s">
        <v>37</v>
      </c>
      <c r="C22" s="7">
        <v>-1000.0</v>
      </c>
      <c r="D22" s="9" t="s">
        <v>13</v>
      </c>
      <c r="E22" s="5"/>
    </row>
    <row r="23" ht="22.5" customHeight="1">
      <c r="A23" s="5">
        <v>45863.0</v>
      </c>
      <c r="B23" s="5" t="s">
        <v>37</v>
      </c>
      <c r="C23" s="7">
        <v>-1000.0</v>
      </c>
      <c r="D23" s="9" t="s">
        <v>13</v>
      </c>
      <c r="E23" s="5"/>
    </row>
    <row r="24" ht="22.5" customHeight="1">
      <c r="A24" s="5">
        <v>45863.0</v>
      </c>
      <c r="B24" s="5" t="s">
        <v>38</v>
      </c>
      <c r="C24" s="7">
        <v>-1000.0</v>
      </c>
      <c r="D24" s="9" t="s">
        <v>13</v>
      </c>
      <c r="E24" s="5"/>
    </row>
    <row r="25" ht="22.5" customHeight="1">
      <c r="A25" s="5">
        <v>45868.0</v>
      </c>
      <c r="B25" s="5" t="s">
        <v>39</v>
      </c>
      <c r="C25" s="7">
        <v>-324.52</v>
      </c>
      <c r="D25" s="9" t="s">
        <v>19</v>
      </c>
      <c r="E25" s="5" t="s">
        <v>15</v>
      </c>
    </row>
    <row r="26" ht="22.5" customHeight="1">
      <c r="A26" s="5">
        <v>45868.0</v>
      </c>
      <c r="B26" s="5" t="s">
        <v>21</v>
      </c>
      <c r="C26" s="7">
        <v>-89.99</v>
      </c>
      <c r="D26" s="9" t="s">
        <v>19</v>
      </c>
      <c r="E26" s="5" t="s">
        <v>40</v>
      </c>
    </row>
    <row r="27" ht="22.5" customHeight="1">
      <c r="A27" s="5">
        <v>45870.0</v>
      </c>
      <c r="B27" s="5" t="s">
        <v>41</v>
      </c>
      <c r="C27" s="7">
        <v>3569.33</v>
      </c>
      <c r="D27" s="9" t="s">
        <v>42</v>
      </c>
      <c r="E27" s="5"/>
    </row>
    <row r="28" ht="22.5" customHeight="1">
      <c r="A28" s="5">
        <v>45870.0</v>
      </c>
      <c r="B28" s="5" t="s">
        <v>26</v>
      </c>
      <c r="C28" s="7">
        <v>-1069.0</v>
      </c>
      <c r="D28" s="9" t="s">
        <v>19</v>
      </c>
      <c r="E28" s="5" t="s">
        <v>15</v>
      </c>
    </row>
    <row r="29" ht="22.5" customHeight="1">
      <c r="A29" s="5">
        <v>45870.0</v>
      </c>
      <c r="B29" s="5" t="s">
        <v>29</v>
      </c>
      <c r="C29" s="7">
        <v>-170.0</v>
      </c>
      <c r="D29" s="9" t="s">
        <v>19</v>
      </c>
      <c r="E29" s="5" t="s">
        <v>15</v>
      </c>
    </row>
    <row r="30" ht="22.5" customHeight="1">
      <c r="A30" s="5">
        <v>45873.0</v>
      </c>
      <c r="B30" s="5" t="s">
        <v>31</v>
      </c>
      <c r="C30" s="7">
        <v>-1072.63</v>
      </c>
      <c r="D30" s="9" t="s">
        <v>19</v>
      </c>
      <c r="E30" s="5" t="s">
        <v>15</v>
      </c>
    </row>
    <row r="31" ht="22.5" customHeight="1">
      <c r="A31" s="5">
        <v>45873.0</v>
      </c>
      <c r="B31" s="5" t="s">
        <v>30</v>
      </c>
      <c r="C31" s="7">
        <v>-105.58</v>
      </c>
      <c r="D31" s="9" t="s">
        <v>19</v>
      </c>
      <c r="E31" s="5" t="s">
        <v>15</v>
      </c>
    </row>
    <row r="32" ht="22.5" customHeight="1">
      <c r="A32" s="5">
        <v>45873.0</v>
      </c>
      <c r="B32" s="5" t="s">
        <v>32</v>
      </c>
      <c r="C32" s="7">
        <v>-107.03</v>
      </c>
      <c r="D32" s="9" t="s">
        <v>19</v>
      </c>
      <c r="E32" s="5" t="s">
        <v>15</v>
      </c>
    </row>
    <row r="33" ht="22.5" customHeight="1">
      <c r="A33" s="5">
        <v>45876.0</v>
      </c>
      <c r="B33" s="5" t="s">
        <v>33</v>
      </c>
      <c r="C33" s="7">
        <v>-203.59</v>
      </c>
      <c r="D33" s="9" t="s">
        <v>19</v>
      </c>
      <c r="E33" s="5" t="s">
        <v>15</v>
      </c>
    </row>
    <row r="34" ht="22.5" customHeight="1">
      <c r="A34" s="5">
        <v>45874.0</v>
      </c>
      <c r="B34" s="5" t="s">
        <v>24</v>
      </c>
      <c r="C34" s="7">
        <v>-1000.0</v>
      </c>
      <c r="D34" s="9" t="s">
        <v>13</v>
      </c>
      <c r="E34" s="5"/>
    </row>
    <row r="35" ht="22.5" customHeight="1">
      <c r="A35" s="5">
        <v>45875.0</v>
      </c>
      <c r="B35" s="5" t="s">
        <v>34</v>
      </c>
      <c r="C35" s="7">
        <v>-92.14</v>
      </c>
      <c r="D35" s="9" t="s">
        <v>19</v>
      </c>
      <c r="E35" s="5" t="s">
        <v>15</v>
      </c>
    </row>
    <row r="36" ht="22.5" customHeight="1">
      <c r="A36" s="5">
        <v>45877.0</v>
      </c>
      <c r="B36" s="5" t="s">
        <v>43</v>
      </c>
      <c r="C36" s="7">
        <v>-1589.3</v>
      </c>
      <c r="D36" s="9" t="s">
        <v>13</v>
      </c>
      <c r="E36" s="5"/>
    </row>
    <row r="37" ht="22.5" customHeight="1">
      <c r="A37" s="5">
        <v>45882.0</v>
      </c>
      <c r="B37" s="5" t="s">
        <v>44</v>
      </c>
      <c r="C37" s="7">
        <v>-1534.33</v>
      </c>
      <c r="D37" s="9" t="s">
        <v>19</v>
      </c>
      <c r="E37" s="5" t="s">
        <v>15</v>
      </c>
    </row>
    <row r="38" ht="22.5" customHeight="1">
      <c r="A38" s="5">
        <v>45884.0</v>
      </c>
      <c r="B38" s="5" t="s">
        <v>41</v>
      </c>
      <c r="C38" s="7">
        <v>3569.33</v>
      </c>
      <c r="D38" s="9" t="s">
        <v>42</v>
      </c>
      <c r="E38" s="5"/>
    </row>
    <row r="39" ht="22.5" customHeight="1">
      <c r="A39" s="5">
        <v>45887.0</v>
      </c>
      <c r="B39" s="5" t="s">
        <v>45</v>
      </c>
      <c r="C39" s="7">
        <v>-370.13</v>
      </c>
      <c r="D39" s="9" t="s">
        <v>13</v>
      </c>
      <c r="E39" s="5"/>
    </row>
    <row r="40" ht="22.5" customHeight="1">
      <c r="A40" s="5">
        <v>45887.0</v>
      </c>
      <c r="B40" s="5" t="s">
        <v>46</v>
      </c>
      <c r="C40" s="7">
        <v>-1118.0</v>
      </c>
      <c r="D40" s="9" t="s">
        <v>13</v>
      </c>
      <c r="E40" s="5"/>
    </row>
    <row r="41" ht="22.5" customHeight="1">
      <c r="A41" s="5">
        <v>45890.0</v>
      </c>
      <c r="B41" s="5" t="s">
        <v>20</v>
      </c>
      <c r="C41" s="7">
        <v>-197.97</v>
      </c>
      <c r="D41" s="9" t="s">
        <v>19</v>
      </c>
      <c r="E41" s="5" t="s">
        <v>15</v>
      </c>
    </row>
    <row r="42" ht="22.5" customHeight="1">
      <c r="A42" s="5">
        <v>45899.0</v>
      </c>
      <c r="B42" s="5" t="s">
        <v>21</v>
      </c>
      <c r="C42" s="7">
        <v>-89.99</v>
      </c>
      <c r="D42" s="9" t="s">
        <v>19</v>
      </c>
      <c r="E42" s="5" t="s">
        <v>40</v>
      </c>
    </row>
    <row r="43" ht="22.5" customHeight="1">
      <c r="A43" s="5">
        <v>45898.0</v>
      </c>
      <c r="B43" s="5" t="s">
        <v>39</v>
      </c>
      <c r="C43" s="7">
        <v>-324.52</v>
      </c>
      <c r="D43" s="9" t="s">
        <v>19</v>
      </c>
      <c r="E43" s="5" t="s">
        <v>15</v>
      </c>
    </row>
    <row r="44" ht="22.5" customHeight="1">
      <c r="A44" s="5">
        <v>45898.0</v>
      </c>
      <c r="B44" s="5" t="s">
        <v>41</v>
      </c>
      <c r="C44" s="7">
        <v>3569.33</v>
      </c>
      <c r="D44" s="9" t="s">
        <v>42</v>
      </c>
      <c r="E44" s="5"/>
    </row>
    <row r="45" ht="22.5" customHeight="1">
      <c r="A45" s="5">
        <v>45898.0</v>
      </c>
      <c r="B45" s="5" t="s">
        <v>29</v>
      </c>
      <c r="C45" s="7">
        <v>170.0</v>
      </c>
      <c r="D45" s="9" t="s">
        <v>19</v>
      </c>
      <c r="E45" s="5"/>
    </row>
    <row r="46" ht="22.5" customHeight="1">
      <c r="A46" s="5">
        <v>45901.0</v>
      </c>
      <c r="B46" s="5" t="s">
        <v>26</v>
      </c>
      <c r="C46" s="7">
        <v>-1069.0</v>
      </c>
      <c r="D46" s="9" t="s">
        <v>19</v>
      </c>
      <c r="E46" s="5" t="s">
        <v>15</v>
      </c>
    </row>
    <row r="47" ht="22.5" customHeight="1">
      <c r="A47" s="5">
        <v>45904.0</v>
      </c>
      <c r="B47" s="5" t="s">
        <v>30</v>
      </c>
      <c r="C47" s="7">
        <f>-13.69</f>
        <v>-13.69</v>
      </c>
      <c r="D47" s="9" t="s">
        <v>19</v>
      </c>
      <c r="E47" s="5" t="s">
        <v>15</v>
      </c>
    </row>
    <row r="48" ht="22.5" customHeight="1">
      <c r="A48" s="5">
        <v>45904.0</v>
      </c>
      <c r="B48" s="5" t="s">
        <v>34</v>
      </c>
      <c r="C48" s="7">
        <f>-71.76</f>
        <v>-71.76</v>
      </c>
      <c r="D48" s="9" t="s">
        <v>19</v>
      </c>
      <c r="E48" s="5" t="s">
        <v>15</v>
      </c>
    </row>
    <row r="49" ht="22.5" customHeight="1">
      <c r="A49" s="5">
        <v>45904.0</v>
      </c>
      <c r="B49" s="5" t="s">
        <v>32</v>
      </c>
      <c r="C49" s="7">
        <f>-114.54</f>
        <v>-114.54</v>
      </c>
      <c r="D49" s="9" t="s">
        <v>19</v>
      </c>
      <c r="E49" s="5" t="s">
        <v>15</v>
      </c>
    </row>
    <row r="50" ht="22.5" customHeight="1">
      <c r="A50" s="5">
        <v>45904.0</v>
      </c>
      <c r="B50" s="5" t="s">
        <v>33</v>
      </c>
      <c r="C50" s="7">
        <f>-191.18</f>
        <v>-191.18</v>
      </c>
      <c r="D50" s="9" t="s">
        <v>19</v>
      </c>
      <c r="E50" s="5" t="s">
        <v>15</v>
      </c>
    </row>
    <row r="51" ht="22.5" customHeight="1">
      <c r="A51" s="5">
        <v>45908.0</v>
      </c>
      <c r="B51" s="5" t="s">
        <v>35</v>
      </c>
      <c r="C51" s="7">
        <v>-349.0</v>
      </c>
      <c r="D51" s="9" t="s">
        <v>19</v>
      </c>
      <c r="E51" s="5" t="s">
        <v>15</v>
      </c>
    </row>
    <row r="52" ht="22.5" customHeight="1">
      <c r="A52" s="5">
        <v>45908.0</v>
      </c>
      <c r="B52" s="5" t="s">
        <v>47</v>
      </c>
      <c r="C52" s="7">
        <v>208.42</v>
      </c>
      <c r="D52" s="9" t="s">
        <v>19</v>
      </c>
      <c r="E52" s="5" t="s">
        <v>15</v>
      </c>
    </row>
    <row r="53" ht="22.5" customHeight="1">
      <c r="A53" s="5">
        <v>45919.0</v>
      </c>
      <c r="B53" s="5" t="s">
        <v>48</v>
      </c>
      <c r="C53" s="7">
        <v>9045.0</v>
      </c>
      <c r="D53" s="9" t="s">
        <v>42</v>
      </c>
      <c r="E53" s="5"/>
    </row>
    <row r="54" ht="22.5" customHeight="1">
      <c r="A54" s="5">
        <v>45912.0</v>
      </c>
      <c r="B54" s="5" t="s">
        <v>41</v>
      </c>
      <c r="C54" s="7">
        <v>4162.3</v>
      </c>
      <c r="D54" s="9" t="s">
        <v>42</v>
      </c>
      <c r="E54" s="5"/>
    </row>
    <row r="55" ht="15.75" customHeight="1">
      <c r="A55" s="5">
        <v>45912.0</v>
      </c>
      <c r="B55" s="5" t="s">
        <v>44</v>
      </c>
      <c r="C55" s="7">
        <v>-1534.0</v>
      </c>
      <c r="D55" s="9" t="s">
        <v>19</v>
      </c>
      <c r="E55" s="5" t="s">
        <v>15</v>
      </c>
    </row>
    <row r="56" ht="15.75" customHeight="1">
      <c r="A56" s="5">
        <v>45922.0</v>
      </c>
      <c r="B56" s="5" t="s">
        <v>20</v>
      </c>
      <c r="C56" s="7">
        <v>-200.51</v>
      </c>
      <c r="D56" s="9" t="s">
        <v>19</v>
      </c>
      <c r="E56" s="5" t="s">
        <v>15</v>
      </c>
    </row>
    <row r="57" ht="15.75" customHeight="1">
      <c r="A57" s="5">
        <v>45926.0</v>
      </c>
      <c r="B57" s="5" t="s">
        <v>41</v>
      </c>
      <c r="C57" s="7">
        <v>3569.0</v>
      </c>
      <c r="D57" s="9" t="s">
        <v>42</v>
      </c>
      <c r="E57" s="5"/>
    </row>
    <row r="58" ht="15.75" customHeight="1">
      <c r="A58" s="5">
        <v>45929.0</v>
      </c>
      <c r="B58" s="5" t="s">
        <v>39</v>
      </c>
      <c r="C58" s="7">
        <v>-324.52</v>
      </c>
      <c r="D58" s="9" t="s">
        <v>19</v>
      </c>
      <c r="E58" s="5" t="s">
        <v>15</v>
      </c>
    </row>
    <row r="59" ht="15.75" customHeight="1">
      <c r="A59" s="5">
        <v>45930.0</v>
      </c>
      <c r="B59" s="5" t="s">
        <v>21</v>
      </c>
      <c r="C59" s="7">
        <v>-89.99</v>
      </c>
      <c r="D59" s="9" t="s">
        <v>19</v>
      </c>
      <c r="E59" s="5" t="s">
        <v>40</v>
      </c>
    </row>
    <row r="60" ht="15.75" customHeight="1">
      <c r="A60" s="5">
        <v>45931.0</v>
      </c>
      <c r="B60" s="5" t="s">
        <v>29</v>
      </c>
      <c r="C60" s="7">
        <f>-170/2</f>
        <v>-85</v>
      </c>
      <c r="D60" s="9" t="s">
        <v>19</v>
      </c>
      <c r="E60" s="5" t="s">
        <v>15</v>
      </c>
    </row>
    <row r="61" ht="15.75" customHeight="1">
      <c r="A61" s="5">
        <v>45931.0</v>
      </c>
      <c r="B61" s="5" t="s">
        <v>26</v>
      </c>
      <c r="C61" s="7">
        <v>-1069.0</v>
      </c>
      <c r="D61" s="9" t="s">
        <v>19</v>
      </c>
      <c r="E61" s="5" t="s">
        <v>15</v>
      </c>
    </row>
    <row r="62" ht="15.75" customHeight="1">
      <c r="A62" s="5">
        <v>45933.0</v>
      </c>
      <c r="B62" s="5" t="s">
        <v>30</v>
      </c>
      <c r="C62" s="7">
        <v>-185.73</v>
      </c>
      <c r="D62" s="9" t="s">
        <v>19</v>
      </c>
      <c r="E62" s="5" t="s">
        <v>15</v>
      </c>
    </row>
    <row r="63" ht="15.75" customHeight="1">
      <c r="A63" s="5">
        <v>45933.0</v>
      </c>
      <c r="B63" s="5" t="s">
        <v>32</v>
      </c>
      <c r="C63" s="7">
        <v>-88.26</v>
      </c>
      <c r="D63" s="9" t="s">
        <v>19</v>
      </c>
      <c r="E63" s="6" t="s">
        <v>49</v>
      </c>
    </row>
    <row r="64" ht="15.75" customHeight="1">
      <c r="A64" s="5">
        <v>45933.0</v>
      </c>
      <c r="B64" s="5" t="s">
        <v>48</v>
      </c>
      <c r="C64" s="7">
        <v>1622.85</v>
      </c>
      <c r="D64" s="9" t="s">
        <v>42</v>
      </c>
      <c r="E64" s="5"/>
    </row>
    <row r="65" ht="15.75" customHeight="1">
      <c r="A65" s="5">
        <v>45937.0</v>
      </c>
      <c r="B65" s="5" t="s">
        <v>35</v>
      </c>
      <c r="C65" s="7">
        <v>-349.0</v>
      </c>
      <c r="D65" s="9" t="s">
        <v>19</v>
      </c>
      <c r="E65" s="5" t="s">
        <v>15</v>
      </c>
    </row>
    <row r="66" ht="15.75" customHeight="1">
      <c r="A66" s="5">
        <v>45937.0</v>
      </c>
      <c r="B66" s="6" t="s">
        <v>34</v>
      </c>
      <c r="C66" s="7">
        <v>-99.8</v>
      </c>
      <c r="D66" s="8" t="s">
        <v>19</v>
      </c>
      <c r="E66" s="6" t="s">
        <v>15</v>
      </c>
    </row>
    <row r="67" ht="15.75" customHeight="1">
      <c r="A67" s="5">
        <v>45938.0</v>
      </c>
      <c r="B67" s="5" t="s">
        <v>47</v>
      </c>
      <c r="C67" s="7">
        <v>-208.42</v>
      </c>
      <c r="D67" s="9" t="s">
        <v>19</v>
      </c>
      <c r="E67" s="5" t="s">
        <v>15</v>
      </c>
    </row>
    <row r="68" ht="15.75" customHeight="1">
      <c r="A68" s="5">
        <v>45938.0</v>
      </c>
      <c r="B68" s="5" t="s">
        <v>33</v>
      </c>
      <c r="C68" s="7">
        <v>-156.64</v>
      </c>
      <c r="D68" s="9" t="s">
        <v>19</v>
      </c>
      <c r="E68" s="5" t="s">
        <v>15</v>
      </c>
    </row>
    <row r="69" ht="15.75" customHeight="1">
      <c r="A69" s="5">
        <v>45936.0</v>
      </c>
      <c r="B69" s="5" t="s">
        <v>48</v>
      </c>
      <c r="C69" s="7">
        <v>10822.5</v>
      </c>
      <c r="D69" s="9" t="s">
        <v>19</v>
      </c>
      <c r="E69" s="5"/>
    </row>
    <row r="70" ht="15.75" customHeight="1">
      <c r="A70" s="10">
        <v>45938.0</v>
      </c>
      <c r="B70" s="11" t="s">
        <v>41</v>
      </c>
      <c r="C70" s="12">
        <v>3569.0</v>
      </c>
      <c r="D70" s="13" t="s">
        <v>42</v>
      </c>
      <c r="E70" s="14"/>
    </row>
    <row r="71" ht="15.75" customHeight="1">
      <c r="A71" s="5">
        <v>45943.0</v>
      </c>
      <c r="B71" s="6" t="s">
        <v>50</v>
      </c>
      <c r="C71" s="7">
        <v>-411.0</v>
      </c>
      <c r="D71" s="8" t="s">
        <v>19</v>
      </c>
      <c r="E71" s="6" t="s">
        <v>15</v>
      </c>
    </row>
    <row r="72" ht="15.75" customHeight="1">
      <c r="A72" s="5">
        <v>45943.0</v>
      </c>
      <c r="B72" s="6" t="s">
        <v>44</v>
      </c>
      <c r="C72" s="7">
        <v>-1534.0</v>
      </c>
      <c r="D72" s="8" t="s">
        <v>19</v>
      </c>
      <c r="E72" s="6" t="s">
        <v>15</v>
      </c>
    </row>
    <row r="73" ht="15.75" customHeight="1">
      <c r="A73" s="5">
        <v>45952.0</v>
      </c>
      <c r="B73" s="5" t="s">
        <v>20</v>
      </c>
      <c r="C73" s="7">
        <v>-200.51</v>
      </c>
      <c r="D73" s="9" t="s">
        <v>19</v>
      </c>
      <c r="E73" s="5" t="s">
        <v>15</v>
      </c>
    </row>
    <row r="74" ht="15.75" customHeight="1">
      <c r="A74" s="5">
        <v>45954.0</v>
      </c>
      <c r="B74" s="5" t="s">
        <v>41</v>
      </c>
      <c r="C74" s="7">
        <v>3569.0</v>
      </c>
      <c r="D74" s="9" t="s">
        <v>42</v>
      </c>
      <c r="E74" s="5"/>
    </row>
    <row r="75" ht="15.75" customHeight="1">
      <c r="A75" s="5">
        <v>45954.0</v>
      </c>
      <c r="B75" s="5" t="s">
        <v>51</v>
      </c>
      <c r="C75" s="7">
        <v>-1000.0</v>
      </c>
      <c r="D75" s="9" t="s">
        <v>42</v>
      </c>
      <c r="E75" s="5"/>
    </row>
    <row r="76" ht="15.75" customHeight="1">
      <c r="A76" s="5">
        <v>45959.0</v>
      </c>
      <c r="B76" s="5" t="s">
        <v>39</v>
      </c>
      <c r="C76" s="7">
        <v>-324.52</v>
      </c>
      <c r="D76" s="9" t="s">
        <v>19</v>
      </c>
      <c r="E76" s="5" t="s">
        <v>15</v>
      </c>
    </row>
    <row r="77" ht="15.75" customHeight="1">
      <c r="A77" s="5">
        <v>45960.0</v>
      </c>
      <c r="B77" s="5" t="s">
        <v>21</v>
      </c>
      <c r="C77" s="7">
        <v>-89.99</v>
      </c>
      <c r="D77" s="9" t="s">
        <v>19</v>
      </c>
      <c r="E77" s="5" t="s">
        <v>40</v>
      </c>
    </row>
    <row r="78" ht="15.75" customHeight="1">
      <c r="A78" s="5">
        <v>45964.0</v>
      </c>
      <c r="B78" s="5" t="s">
        <v>29</v>
      </c>
      <c r="C78" s="7">
        <f>-170</f>
        <v>-170</v>
      </c>
      <c r="D78" s="9" t="s">
        <v>19</v>
      </c>
      <c r="E78" s="5" t="s">
        <v>15</v>
      </c>
    </row>
    <row r="79" ht="15.75" customHeight="1">
      <c r="A79" s="5">
        <v>45962.0</v>
      </c>
      <c r="B79" s="5" t="s">
        <v>26</v>
      </c>
      <c r="C79" s="7">
        <v>-1069.0</v>
      </c>
      <c r="D79" s="9" t="s">
        <v>19</v>
      </c>
      <c r="E79" s="5" t="s">
        <v>15</v>
      </c>
    </row>
    <row r="80" ht="15.75" customHeight="1">
      <c r="A80" s="5">
        <v>45964.0</v>
      </c>
      <c r="B80" s="5" t="s">
        <v>30</v>
      </c>
      <c r="C80" s="7">
        <v>-103.62</v>
      </c>
      <c r="D80" s="9" t="s">
        <v>19</v>
      </c>
      <c r="E80" s="5" t="s">
        <v>15</v>
      </c>
    </row>
    <row r="81" ht="15.75" customHeight="1">
      <c r="A81" s="5">
        <v>45964.0</v>
      </c>
      <c r="B81" s="5" t="s">
        <v>32</v>
      </c>
      <c r="C81" s="7">
        <v>-105.44</v>
      </c>
      <c r="D81" s="9" t="s">
        <v>19</v>
      </c>
      <c r="E81" s="5" t="s">
        <v>49</v>
      </c>
    </row>
    <row r="82" ht="15.75" customHeight="1">
      <c r="A82" s="10">
        <v>45968.0</v>
      </c>
      <c r="B82" s="15" t="s">
        <v>41</v>
      </c>
      <c r="C82" s="16">
        <v>3569.0</v>
      </c>
      <c r="D82" s="17" t="s">
        <v>42</v>
      </c>
      <c r="E82" s="18"/>
    </row>
    <row r="83" ht="15.75" customHeight="1">
      <c r="A83" s="5">
        <v>45968.0</v>
      </c>
      <c r="B83" s="5" t="s">
        <v>34</v>
      </c>
      <c r="C83" s="7">
        <f>-133.64</f>
        <v>-133.64</v>
      </c>
      <c r="D83" s="9" t="s">
        <v>19</v>
      </c>
      <c r="E83" s="5" t="s">
        <v>15</v>
      </c>
    </row>
    <row r="84" ht="15.75" customHeight="1">
      <c r="A84" s="5">
        <v>45968.0</v>
      </c>
      <c r="B84" s="6" t="s">
        <v>52</v>
      </c>
      <c r="C84" s="7">
        <f>-136.36</f>
        <v>-136.36</v>
      </c>
      <c r="D84" s="8" t="s">
        <v>19</v>
      </c>
      <c r="E84" s="6" t="s">
        <v>15</v>
      </c>
    </row>
    <row r="85" ht="15.75" customHeight="1">
      <c r="A85" s="5">
        <v>45968.0</v>
      </c>
      <c r="B85" s="5" t="s">
        <v>47</v>
      </c>
      <c r="C85" s="7">
        <v>-208.42</v>
      </c>
      <c r="D85" s="9" t="s">
        <v>19</v>
      </c>
      <c r="E85" s="5" t="s">
        <v>15</v>
      </c>
    </row>
    <row r="86" ht="15.75" customHeight="1">
      <c r="A86" s="5">
        <v>45968.0</v>
      </c>
      <c r="B86" s="5" t="s">
        <v>33</v>
      </c>
      <c r="C86" s="7">
        <f>SUM(C83:C85)</f>
        <v>-478.42</v>
      </c>
      <c r="D86" s="9" t="s">
        <v>19</v>
      </c>
      <c r="E86" s="5" t="s">
        <v>15</v>
      </c>
    </row>
    <row r="87" ht="15.75" customHeight="1">
      <c r="A87" s="5">
        <v>45974.0</v>
      </c>
      <c r="B87" s="5" t="s">
        <v>50</v>
      </c>
      <c r="C87" s="7">
        <v>-411.0</v>
      </c>
      <c r="D87" s="9" t="s">
        <v>19</v>
      </c>
      <c r="E87" s="5" t="s">
        <v>53</v>
      </c>
    </row>
    <row r="88" ht="15.75" customHeight="1">
      <c r="A88" s="7">
        <v>45974.0</v>
      </c>
      <c r="B88" s="19" t="s">
        <v>44</v>
      </c>
      <c r="C88" s="5" t="s">
        <v>54</v>
      </c>
      <c r="D88" s="9" t="s">
        <v>19</v>
      </c>
      <c r="E88" s="5" t="s">
        <v>15</v>
      </c>
    </row>
    <row r="89" ht="15.75" customHeight="1">
      <c r="A89" s="5">
        <v>45982.0</v>
      </c>
      <c r="B89" s="5" t="s">
        <v>41</v>
      </c>
      <c r="C89" s="7">
        <v>3569.0</v>
      </c>
      <c r="D89" s="8" t="s">
        <v>42</v>
      </c>
      <c r="E89" s="5"/>
    </row>
    <row r="90" ht="15.75" customHeight="1">
      <c r="A90" s="5">
        <v>45990.0</v>
      </c>
      <c r="B90" s="5" t="s">
        <v>39</v>
      </c>
      <c r="C90" s="7">
        <v>-324.52</v>
      </c>
      <c r="D90" s="9" t="s">
        <v>19</v>
      </c>
      <c r="E90" s="5" t="s">
        <v>15</v>
      </c>
    </row>
    <row r="91" ht="15.75" customHeight="1">
      <c r="A91" s="5">
        <v>45991.0</v>
      </c>
      <c r="B91" s="5" t="s">
        <v>21</v>
      </c>
      <c r="C91" s="7">
        <v>-89.99</v>
      </c>
      <c r="D91" s="9" t="s">
        <v>19</v>
      </c>
      <c r="E91" s="5" t="s">
        <v>55</v>
      </c>
    </row>
    <row r="92" ht="15.75" customHeight="1">
      <c r="A92" s="5">
        <v>45992.0</v>
      </c>
      <c r="B92" s="5" t="s">
        <v>29</v>
      </c>
      <c r="C92" s="7">
        <f>-170</f>
        <v>-170</v>
      </c>
      <c r="D92" s="9" t="s">
        <v>19</v>
      </c>
      <c r="E92" s="5" t="s">
        <v>15</v>
      </c>
    </row>
    <row r="93" ht="15.75" customHeight="1">
      <c r="A93" s="5">
        <v>45992.0</v>
      </c>
      <c r="B93" s="5" t="s">
        <v>26</v>
      </c>
      <c r="C93" s="7">
        <v>-1069.0</v>
      </c>
      <c r="D93" s="9" t="s">
        <v>19</v>
      </c>
      <c r="E93" s="5" t="s">
        <v>15</v>
      </c>
    </row>
    <row r="94" ht="15.75" customHeight="1">
      <c r="A94" s="5">
        <v>45994.0</v>
      </c>
      <c r="B94" s="5" t="s">
        <v>30</v>
      </c>
      <c r="C94" s="7">
        <v>-117.31</v>
      </c>
      <c r="D94" s="9" t="s">
        <v>19</v>
      </c>
      <c r="E94" s="5" t="s">
        <v>15</v>
      </c>
    </row>
    <row r="95" ht="15.75" customHeight="1">
      <c r="A95" s="5">
        <v>45994.0</v>
      </c>
      <c r="B95" s="5" t="s">
        <v>32</v>
      </c>
      <c r="C95" s="7">
        <v>-118.62</v>
      </c>
      <c r="D95" s="9" t="s">
        <v>19</v>
      </c>
      <c r="E95" s="5" t="s">
        <v>49</v>
      </c>
    </row>
    <row r="96" ht="15.75" customHeight="1">
      <c r="A96" s="5">
        <v>45996.0</v>
      </c>
      <c r="B96" s="5" t="s">
        <v>41</v>
      </c>
      <c r="C96" s="7">
        <v>3569.0</v>
      </c>
      <c r="D96" s="9" t="s">
        <v>42</v>
      </c>
      <c r="E96" s="5"/>
    </row>
    <row r="97" ht="15.75" customHeight="1">
      <c r="A97" s="5">
        <v>45998.0</v>
      </c>
      <c r="B97" s="5" t="s">
        <v>34</v>
      </c>
      <c r="C97" s="7">
        <f>-157.08</f>
        <v>-157.08</v>
      </c>
      <c r="D97" s="9" t="s">
        <v>19</v>
      </c>
      <c r="E97" s="5" t="s">
        <v>15</v>
      </c>
    </row>
    <row r="98" ht="15.75" customHeight="1">
      <c r="A98" s="5">
        <v>45998.0</v>
      </c>
      <c r="B98" s="5" t="s">
        <v>52</v>
      </c>
      <c r="C98" s="7">
        <f>-136.36</f>
        <v>-136.36</v>
      </c>
      <c r="D98" s="9" t="s">
        <v>19</v>
      </c>
      <c r="E98" s="5" t="s">
        <v>15</v>
      </c>
    </row>
    <row r="99" ht="15.75" customHeight="1">
      <c r="A99" s="5">
        <v>45968.0</v>
      </c>
      <c r="B99" s="5" t="s">
        <v>33</v>
      </c>
      <c r="C99" s="7">
        <f>-125.47</f>
        <v>-125.47</v>
      </c>
      <c r="D99" s="9" t="s">
        <v>19</v>
      </c>
      <c r="E99" s="5" t="s">
        <v>15</v>
      </c>
    </row>
    <row r="100" ht="15.75" customHeight="1">
      <c r="A100" s="5">
        <v>46004.0</v>
      </c>
      <c r="B100" s="5" t="s">
        <v>50</v>
      </c>
      <c r="C100" s="7">
        <v>-411.0</v>
      </c>
      <c r="D100" s="9" t="s">
        <v>19</v>
      </c>
      <c r="E100" s="5" t="s">
        <v>15</v>
      </c>
    </row>
    <row r="101" ht="15.75" customHeight="1">
      <c r="A101" s="5">
        <v>46004.0</v>
      </c>
      <c r="B101" s="5" t="s">
        <v>44</v>
      </c>
      <c r="C101" s="7">
        <v>-1534.0</v>
      </c>
      <c r="D101" s="9" t="s">
        <v>19</v>
      </c>
      <c r="E101" s="5" t="s">
        <v>15</v>
      </c>
    </row>
    <row r="102" ht="15.75" customHeight="1">
      <c r="A102" s="5">
        <v>46010.0</v>
      </c>
      <c r="B102" s="5" t="s">
        <v>41</v>
      </c>
      <c r="C102" s="7">
        <f>3569</f>
        <v>3569</v>
      </c>
      <c r="D102" s="9" t="s">
        <v>42</v>
      </c>
      <c r="E102" s="5"/>
    </row>
    <row r="103" ht="15.75" customHeight="1">
      <c r="A103" s="5">
        <v>46020.0</v>
      </c>
      <c r="B103" s="5" t="s">
        <v>39</v>
      </c>
      <c r="C103" s="7">
        <v>-324.52</v>
      </c>
      <c r="D103" s="9" t="s">
        <v>19</v>
      </c>
      <c r="E103" s="5" t="s">
        <v>15</v>
      </c>
    </row>
    <row r="104" ht="15.75" customHeight="1">
      <c r="A104" s="5">
        <v>46021.0</v>
      </c>
      <c r="B104" s="5" t="s">
        <v>21</v>
      </c>
      <c r="C104" s="7">
        <v>-89.99</v>
      </c>
      <c r="D104" s="9" t="s">
        <v>19</v>
      </c>
      <c r="E104" s="6" t="s">
        <v>55</v>
      </c>
    </row>
    <row r="105" ht="15.75" customHeight="1">
      <c r="A105" s="5">
        <v>46024.0</v>
      </c>
      <c r="B105" s="5" t="s">
        <v>41</v>
      </c>
      <c r="C105" s="7">
        <f>3569</f>
        <v>3569</v>
      </c>
      <c r="D105" s="9" t="s">
        <v>42</v>
      </c>
      <c r="E105" s="5"/>
    </row>
    <row r="106" ht="15.75" customHeight="1">
      <c r="A106" s="5">
        <v>46023.0</v>
      </c>
      <c r="B106" s="5" t="s">
        <v>29</v>
      </c>
      <c r="C106" s="7">
        <f>-170</f>
        <v>-170</v>
      </c>
      <c r="D106" s="9" t="s">
        <v>19</v>
      </c>
      <c r="E106" s="5" t="s">
        <v>15</v>
      </c>
    </row>
    <row r="107" ht="15.75" customHeight="1">
      <c r="A107" s="5">
        <v>46023.0</v>
      </c>
      <c r="B107" s="5" t="s">
        <v>26</v>
      </c>
      <c r="C107" s="7">
        <v>-1069.0</v>
      </c>
      <c r="D107" s="9" t="s">
        <v>19</v>
      </c>
      <c r="E107" s="5" t="s">
        <v>15</v>
      </c>
    </row>
    <row r="108" ht="15.75" customHeight="1">
      <c r="A108" s="5">
        <v>46025.0</v>
      </c>
      <c r="B108" s="5" t="s">
        <v>30</v>
      </c>
      <c r="C108" s="7">
        <v>-121.22</v>
      </c>
      <c r="D108" s="9" t="s">
        <v>19</v>
      </c>
      <c r="E108" s="5" t="s">
        <v>15</v>
      </c>
    </row>
    <row r="109" ht="15.75" customHeight="1">
      <c r="A109" s="5">
        <v>46025.0</v>
      </c>
      <c r="B109" s="5" t="s">
        <v>32</v>
      </c>
      <c r="C109" s="7">
        <v>-96.33</v>
      </c>
      <c r="D109" s="9" t="s">
        <v>19</v>
      </c>
      <c r="E109" s="5" t="s">
        <v>49</v>
      </c>
    </row>
    <row r="110" ht="15.75" customHeight="1">
      <c r="A110" s="5">
        <v>46029.0</v>
      </c>
      <c r="B110" s="5" t="s">
        <v>34</v>
      </c>
      <c r="C110" s="7">
        <f>-151.94</f>
        <v>-151.94</v>
      </c>
      <c r="D110" s="9" t="s">
        <v>19</v>
      </c>
      <c r="E110" s="5" t="s">
        <v>15</v>
      </c>
    </row>
    <row r="111" ht="15.75" customHeight="1">
      <c r="A111" s="5">
        <v>46029.0</v>
      </c>
      <c r="B111" s="5" t="s">
        <v>52</v>
      </c>
      <c r="C111" s="7">
        <f>-136.36</f>
        <v>-136.36</v>
      </c>
      <c r="D111" s="9" t="s">
        <v>19</v>
      </c>
      <c r="E111" s="5" t="s">
        <v>15</v>
      </c>
    </row>
    <row r="112" ht="15.75" customHeight="1">
      <c r="A112" s="5">
        <v>46029.0</v>
      </c>
      <c r="B112" s="5" t="s">
        <v>33</v>
      </c>
      <c r="C112" s="7">
        <f>-125.47</f>
        <v>-125.47</v>
      </c>
      <c r="D112" s="9" t="s">
        <v>19</v>
      </c>
      <c r="E112" s="5" t="s">
        <v>15</v>
      </c>
    </row>
    <row r="113" ht="15.75" customHeight="1">
      <c r="A113" s="5">
        <v>46035.0</v>
      </c>
      <c r="B113" s="5" t="s">
        <v>50</v>
      </c>
      <c r="C113" s="7">
        <v>-411.0</v>
      </c>
      <c r="D113" s="9" t="s">
        <v>19</v>
      </c>
      <c r="E113" s="5" t="s">
        <v>15</v>
      </c>
    </row>
    <row r="114" ht="15.75" customHeight="1">
      <c r="A114" s="5">
        <v>46035.0</v>
      </c>
      <c r="B114" s="5" t="s">
        <v>44</v>
      </c>
      <c r="C114" s="7">
        <v>-1534.0</v>
      </c>
      <c r="D114" s="9" t="s">
        <v>19</v>
      </c>
      <c r="E114" s="5" t="s">
        <v>15</v>
      </c>
    </row>
    <row r="115" ht="15.75" customHeight="1">
      <c r="A115" s="5">
        <v>46038.0</v>
      </c>
      <c r="B115" s="5" t="s">
        <v>41</v>
      </c>
      <c r="C115" s="7">
        <f>3569</f>
        <v>3569</v>
      </c>
      <c r="D115" s="9" t="s">
        <v>42</v>
      </c>
      <c r="E115" s="5"/>
    </row>
    <row r="116" ht="15.75" customHeight="1">
      <c r="A116" s="5">
        <v>46042.0</v>
      </c>
      <c r="B116" s="6" t="s">
        <v>56</v>
      </c>
      <c r="C116" s="7">
        <f>-636.88</f>
        <v>-636.88</v>
      </c>
      <c r="D116" s="8" t="s">
        <v>19</v>
      </c>
      <c r="E116" s="6" t="s">
        <v>15</v>
      </c>
    </row>
    <row r="117" ht="15.75" customHeight="1">
      <c r="A117" s="5">
        <v>46042.0</v>
      </c>
      <c r="B117" s="5" t="s">
        <v>20</v>
      </c>
      <c r="C117" s="7">
        <v>-200.51</v>
      </c>
      <c r="D117" s="9" t="s">
        <v>19</v>
      </c>
      <c r="E117" s="5" t="s">
        <v>15</v>
      </c>
    </row>
    <row r="118" ht="15.75" customHeight="1">
      <c r="A118" s="5">
        <v>46050.0</v>
      </c>
      <c r="B118" s="5" t="s">
        <v>41</v>
      </c>
      <c r="C118" s="7">
        <f>3569</f>
        <v>3569</v>
      </c>
      <c r="D118" s="9" t="s">
        <v>42</v>
      </c>
      <c r="E118" s="5"/>
    </row>
    <row r="119" ht="15.75" customHeight="1">
      <c r="A119" s="5">
        <v>46051.0</v>
      </c>
      <c r="B119" s="5" t="s">
        <v>39</v>
      </c>
      <c r="C119" s="7">
        <v>-324.52</v>
      </c>
      <c r="D119" s="9" t="s">
        <v>19</v>
      </c>
      <c r="E119" s="5" t="s">
        <v>15</v>
      </c>
    </row>
    <row r="120" ht="15.75" customHeight="1">
      <c r="A120" s="5">
        <v>46052.0</v>
      </c>
      <c r="B120" s="5" t="s">
        <v>21</v>
      </c>
      <c r="C120" s="7">
        <v>-99.99</v>
      </c>
      <c r="D120" s="9" t="s">
        <v>19</v>
      </c>
      <c r="E120" s="6" t="s">
        <v>55</v>
      </c>
    </row>
    <row r="121" ht="15.75" customHeight="1">
      <c r="A121" s="20">
        <v>46055.0</v>
      </c>
      <c r="B121" s="20" t="s">
        <v>29</v>
      </c>
      <c r="C121" s="21">
        <f>-170</f>
        <v>-170</v>
      </c>
      <c r="D121" s="22"/>
      <c r="E121" s="23"/>
    </row>
    <row r="122" ht="15.75" customHeight="1">
      <c r="A122" s="20">
        <v>46055.0</v>
      </c>
      <c r="B122" s="20" t="s">
        <v>26</v>
      </c>
      <c r="C122" s="21">
        <v>-1069.0</v>
      </c>
      <c r="D122" s="22"/>
      <c r="E122" s="23"/>
    </row>
    <row r="123" ht="15.75" customHeight="1">
      <c r="A123" s="20">
        <v>46055.0</v>
      </c>
      <c r="B123" s="20" t="s">
        <v>30</v>
      </c>
      <c r="C123" s="21">
        <v>-103.62</v>
      </c>
      <c r="D123" s="22"/>
      <c r="E123" s="23"/>
    </row>
    <row r="124" ht="15.75" customHeight="1">
      <c r="A124" s="20">
        <v>46055.0</v>
      </c>
      <c r="B124" s="20" t="s">
        <v>32</v>
      </c>
      <c r="C124" s="21">
        <v>-105.44</v>
      </c>
      <c r="D124" s="22"/>
      <c r="E124" s="23"/>
    </row>
    <row r="125" ht="15.75" customHeight="1">
      <c r="A125" s="20">
        <v>46059.0</v>
      </c>
      <c r="B125" s="20" t="s">
        <v>34</v>
      </c>
      <c r="C125" s="21">
        <f>-133.64</f>
        <v>-133.64</v>
      </c>
      <c r="D125" s="22"/>
      <c r="E125" s="23"/>
    </row>
    <row r="126" ht="15.75" customHeight="1">
      <c r="A126" s="20">
        <v>46059.0</v>
      </c>
      <c r="B126" s="20" t="s">
        <v>52</v>
      </c>
      <c r="C126" s="21">
        <f>-136.36</f>
        <v>-136.36</v>
      </c>
      <c r="D126" s="22"/>
      <c r="E126" s="23"/>
    </row>
    <row r="127" ht="15.75" customHeight="1">
      <c r="A127" s="20">
        <v>46059.0</v>
      </c>
      <c r="B127" s="20" t="s">
        <v>33</v>
      </c>
      <c r="C127" s="21">
        <f>SUM(C125:C126)</f>
        <v>-270</v>
      </c>
      <c r="D127" s="22"/>
      <c r="E127" s="23"/>
    </row>
    <row r="128" ht="15.75" customHeight="1">
      <c r="A128" s="20">
        <v>46064.0</v>
      </c>
      <c r="B128" s="20" t="s">
        <v>41</v>
      </c>
      <c r="C128" s="21">
        <v>3569.0</v>
      </c>
      <c r="D128" s="22"/>
      <c r="E128" s="23"/>
    </row>
    <row r="129" ht="15.75" customHeight="1">
      <c r="A129" s="20">
        <v>46066.0</v>
      </c>
      <c r="B129" s="20" t="s">
        <v>50</v>
      </c>
      <c r="C129" s="21">
        <v>-411.0</v>
      </c>
      <c r="D129" s="22"/>
      <c r="E129" s="23"/>
    </row>
    <row r="130" ht="15.75" customHeight="1">
      <c r="A130" s="20">
        <v>46066.0</v>
      </c>
      <c r="B130" s="20" t="s">
        <v>44</v>
      </c>
      <c r="C130" s="21">
        <v>-1534.0</v>
      </c>
      <c r="D130" s="22"/>
      <c r="E130" s="23"/>
    </row>
    <row r="131" ht="15.75" customHeight="1">
      <c r="A131" s="20">
        <v>46078.0</v>
      </c>
      <c r="B131" s="24" t="s">
        <v>41</v>
      </c>
      <c r="C131" s="21">
        <v>3569.0</v>
      </c>
      <c r="D131" s="22"/>
      <c r="E131" s="23"/>
    </row>
    <row r="132" ht="15.75" customHeight="1">
      <c r="A132" s="20">
        <v>46080.0</v>
      </c>
      <c r="B132" s="20" t="s">
        <v>39</v>
      </c>
      <c r="C132" s="21">
        <v>-324.52</v>
      </c>
      <c r="D132" s="22"/>
      <c r="E132" s="23"/>
    </row>
    <row r="133" ht="15.75" customHeight="1">
      <c r="A133" s="20">
        <v>46080.0</v>
      </c>
      <c r="B133" s="20" t="s">
        <v>21</v>
      </c>
      <c r="C133" s="21">
        <v>-89.99</v>
      </c>
      <c r="D133" s="22"/>
      <c r="E133" s="23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</sheetData>
  <dataValidations>
    <dataValidation type="custom" allowBlank="1" showDropDown="1" sqref="A2:A133">
      <formula1>OR(NOT(ISERROR(DATEVALUE(A2))), AND(ISNUMBER(A2), LEFT(CELL("format", A2))="D"))</formula1>
    </dataValidation>
    <dataValidation type="custom" allowBlank="1" showDropDown="1" sqref="C2:C133">
      <formula1>AND(ISNUMBER(C2),(NOT(OR(NOT(ISERROR(DATEVALUE(C2))), AND(ISNUMBER(C2), LEFT(CELL("format", C2))="D")))))</formula1>
    </dataValidation>
    <dataValidation type="list" allowBlank="1" sqref="D2:D133">
      <formula1>"One-time,Monthly,Bi-Weekly"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12.14"/>
    <col customWidth="1" min="3" max="3" width="13.29"/>
    <col customWidth="1" min="4" max="26" width="8.71"/>
  </cols>
  <sheetData>
    <row r="1" ht="22.5" customHeight="1">
      <c r="A1" s="1" t="s">
        <v>0</v>
      </c>
      <c r="B1" s="1" t="s">
        <v>57</v>
      </c>
      <c r="C1" s="1" t="s">
        <v>9</v>
      </c>
    </row>
    <row r="2" ht="22.5" customHeight="1">
      <c r="A2" s="25">
        <v>45828.0</v>
      </c>
      <c r="B2" s="26" t="s">
        <v>58</v>
      </c>
      <c r="C2" s="24">
        <v>4032.0</v>
      </c>
    </row>
    <row r="3" ht="22.5" customHeight="1">
      <c r="A3" s="25">
        <v>45841.0</v>
      </c>
      <c r="B3" s="26" t="s">
        <v>58</v>
      </c>
      <c r="C3" s="24">
        <v>3569.0</v>
      </c>
    </row>
    <row r="4" ht="22.5" customHeight="1">
      <c r="A4" s="25">
        <v>45849.0</v>
      </c>
      <c r="B4" s="26" t="s">
        <v>58</v>
      </c>
      <c r="C4" s="24">
        <v>2240.0</v>
      </c>
    </row>
    <row r="5" ht="22.5" customHeight="1">
      <c r="A5" s="25">
        <v>45856.0</v>
      </c>
      <c r="B5" s="26" t="s">
        <v>58</v>
      </c>
      <c r="C5" s="24">
        <v>3569.0</v>
      </c>
    </row>
    <row r="6" ht="22.5" customHeight="1">
      <c r="A6" s="25">
        <v>45870.0</v>
      </c>
      <c r="B6" s="26" t="s">
        <v>58</v>
      </c>
      <c r="C6" s="24">
        <v>3569.0</v>
      </c>
    </row>
    <row r="7" ht="22.5" customHeight="1">
      <c r="A7" s="27">
        <v>45877.0</v>
      </c>
      <c r="B7" s="24" t="s">
        <v>58</v>
      </c>
      <c r="C7" s="24">
        <v>5400.0</v>
      </c>
    </row>
    <row r="8" ht="22.5" customHeight="1">
      <c r="A8" s="27">
        <v>45884.0</v>
      </c>
      <c r="B8" s="24" t="s">
        <v>58</v>
      </c>
      <c r="C8" s="24">
        <v>3569.0</v>
      </c>
    </row>
    <row r="9" ht="22.5" customHeight="1">
      <c r="A9" s="28">
        <v>45898.0</v>
      </c>
      <c r="B9" s="24" t="s">
        <v>58</v>
      </c>
      <c r="C9" s="24">
        <v>3569.0</v>
      </c>
    </row>
    <row r="10" ht="22.5" customHeight="1">
      <c r="A10" s="28">
        <v>45908.0</v>
      </c>
      <c r="B10" s="24" t="s">
        <v>58</v>
      </c>
      <c r="C10" s="24">
        <v>11880.0</v>
      </c>
    </row>
    <row r="11" ht="22.5" customHeight="1">
      <c r="A11" s="28">
        <v>45912.0</v>
      </c>
      <c r="B11" s="24" t="s">
        <v>58</v>
      </c>
      <c r="C11" s="24">
        <v>3569.0</v>
      </c>
    </row>
    <row r="12" ht="22.5" customHeight="1">
      <c r="A12" s="28">
        <v>45926.0</v>
      </c>
      <c r="B12" s="24" t="s">
        <v>58</v>
      </c>
      <c r="C12" s="24">
        <v>3569.0</v>
      </c>
    </row>
    <row r="13" ht="22.5" customHeight="1">
      <c r="A13" s="27">
        <v>45940.0</v>
      </c>
      <c r="B13" s="24" t="s">
        <v>58</v>
      </c>
      <c r="C13" s="24">
        <v>3569.0</v>
      </c>
    </row>
    <row r="14" ht="22.5" customHeight="1">
      <c r="A14" s="27">
        <v>45940.0</v>
      </c>
      <c r="B14" s="24" t="s">
        <v>58</v>
      </c>
      <c r="C14" s="24">
        <v>8640.0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8.71"/>
    <col customWidth="1" min="3" max="3" width="12.29"/>
    <col customWidth="1" min="4" max="4" width="12.71"/>
    <col customWidth="1" min="5" max="5" width="14.57"/>
    <col customWidth="1" min="6" max="26" width="8.71"/>
  </cols>
  <sheetData>
    <row r="1">
      <c r="A1" s="29" t="s">
        <v>59</v>
      </c>
      <c r="B1" s="29" t="s">
        <v>60</v>
      </c>
      <c r="C1" s="29" t="s">
        <v>61</v>
      </c>
      <c r="D1" s="29" t="s">
        <v>62</v>
      </c>
      <c r="E1" s="29" t="s">
        <v>63</v>
      </c>
    </row>
    <row r="2">
      <c r="A2" s="30" t="s">
        <v>64</v>
      </c>
      <c r="B2" s="30">
        <f>9602.54 - 3002.54</f>
        <v>6600</v>
      </c>
      <c r="C2" s="31" t="s">
        <v>65</v>
      </c>
      <c r="D2" s="31">
        <v>210.0</v>
      </c>
      <c r="E2" s="30">
        <v>4000.0</v>
      </c>
    </row>
    <row r="3">
      <c r="A3" s="31" t="s">
        <v>66</v>
      </c>
      <c r="B3" s="30">
        <v>935.0</v>
      </c>
      <c r="C3" s="31" t="s">
        <v>67</v>
      </c>
      <c r="D3" s="31">
        <v>180.0</v>
      </c>
      <c r="E3" s="30">
        <v>200.0</v>
      </c>
    </row>
    <row r="4">
      <c r="A4" s="30" t="s">
        <v>68</v>
      </c>
      <c r="B4" s="30">
        <v>8494.43</v>
      </c>
      <c r="C4" s="31" t="s">
        <v>67</v>
      </c>
      <c r="D4" s="30">
        <v>100.0</v>
      </c>
      <c r="E4" s="30">
        <v>1000.0</v>
      </c>
    </row>
    <row r="11">
      <c r="A11" s="31">
        <f>SUM(-922.06,Bills!C70:C73,12339,-3000)</f>
        <v>9840.43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